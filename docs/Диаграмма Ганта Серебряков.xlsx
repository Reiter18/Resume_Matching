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980" tabRatio="500"/>
  </bookViews>
  <sheets>
    <sheet name="Gantt" sheetId="1" r:id="rId1"/>
    <sheet name="Нагрузк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<sst xmlns="http://schemas.openxmlformats.org/spreadsheetml/2006/main" count="145" uniqueCount="65">
  <si>
    <t>Диаграмма Ганта: сервис агрегации вакансий с матчингом по резюме</t>
  </si>
  <si>
    <t>Дата начала:</t>
  </si>
  <si>
    <t>Неделя →</t>
  </si>
  <si>
    <t>№</t>
  </si>
  <si>
    <t>Задача</t>
  </si>
  <si>
    <t>Исполнитель</t>
  </si>
  <si>
    <t>Старт (нед.)</t>
  </si>
  <si>
    <t>Длит. (нед.)</t>
  </si>
  <si>
    <t>Конец (нед.)</t>
  </si>
  <si>
    <t>Статус</t>
  </si>
  <si>
    <t>ФАЗА 1. Backend: сбор данных</t>
  </si>
  <si>
    <t>Схема БД и единая нормализованная схема вакансии</t>
  </si>
  <si>
    <t>Backend</t>
  </si>
  <si>
    <t>Готово</t>
  </si>
  <si>
    <t>+</t>
  </si>
  <si>
    <t>Коннектор к источнику №1 (API/скрейпинг) + обработка сбоев источника</t>
  </si>
  <si>
    <t>В работе</t>
  </si>
  <si>
    <t>Инфраструктура очередей (брокер, воркеры, retry/DLQ)</t>
  </si>
  <si>
    <t>Дедупликация вакансий (fuzzy matching)</t>
  </si>
  <si>
    <t>Не начато</t>
  </si>
  <si>
    <t>Коннектор к источнику №2 (опционально, для демонстрации расширяемости)</t>
  </si>
  <si>
    <t>ФАЗА 2. Backend: резюме и матчинг по ключевым словам</t>
  </si>
  <si>
    <t>Загрузка и парсинг резюме (PDF/текст → чистый текст)</t>
  </si>
  <si>
    <t>Словарь навыков и синонимов (postgres = postgresql, js = javascript)</t>
  </si>
  <si>
    <t>Извлечение навыков (ключевых слов) из резюме и вакансий</t>
  </si>
  <si>
    <t>Извлечение параметров вакансии: формат работы, график/часы, зарплата, опыт (правила/regex)</t>
  </si>
  <si>
    <t>Профиль предпочтений пользователя и обязательные критерии (модель + API)</t>
  </si>
  <si>
    <t>Скоринг v1: многокритериальный (навыки, формат, зарплата, локация, график, занятость, опыт)</t>
  </si>
  <si>
    <t>Асинхронный пайплайн матчинга (новая вакансия → критерии → скор)</t>
  </si>
  <si>
    <t>Ресерч: только навыки vs многокритериальный скоринг, подбор весов (метрики на размеченной выборке)</t>
  </si>
  <si>
    <t>Объяснение скора по критериям (что совпало, чего не хватает, что не указано)</t>
  </si>
  <si>
    <t>Уведомления: алерты по порогу и дайджест</t>
  </si>
  <si>
    <t>REST API + WebSocket/SSE для real-time</t>
  </si>
  <si>
    <t>ФАЗА 3. Frontend</t>
  </si>
  <si>
    <t>Wireframes и прототипы экранов (Figma)</t>
  </si>
  <si>
    <t>Frontend</t>
  </si>
  <si>
    <t>Каркас приложения, роутинг, CI/CD фронта</t>
  </si>
  <si>
    <t>Регистрация/вход, профиль пользователя</t>
  </si>
  <si>
    <t>Загрузка резюме и ручная правка ключевых слов</t>
  </si>
  <si>
    <t>Форма предпочтений: формат, график, зарплата, локация, обязательные критерии</t>
  </si>
  <si>
    <t>Лента вакансий, фильтры, поиск (debounce, виртуализация списка)</t>
  </si>
  <si>
    <t>Клиентское кэширование и оптимистичные обновления</t>
  </si>
  <si>
    <t>Визуализация «почему 85%» (разбивка по критериям)</t>
  </si>
  <si>
    <t>Real-time обновления ленты и уведомления в UI</t>
  </si>
  <si>
    <t>Настройки уведомлений и порога релевантности</t>
  </si>
  <si>
    <t>ФАЗА 4. Публичные ссылки (фича преподавателя)</t>
  </si>
  <si>
    <t>Модель share_links: токены (только хеш), белый список полей, срок, отзыв</t>
  </si>
  <si>
    <t>Публичный эндпоинт подборки, лимиты запросов (Redis), тесты на утечку закрытых полей</t>
  </si>
  <si>
    <t>Диалог «Поделиться»: выбор полей, срок, список и отзыв ссылок</t>
  </si>
  <si>
    <t>Публичная страница подборки (только чтение, без входа)</t>
  </si>
  <si>
    <t>ФАЗА 5. Качество, деплой, защита</t>
  </si>
  <si>
    <t>Юнит-тесты своего кода (каждый пишет сам, постоянно)</t>
  </si>
  <si>
    <t>Оба</t>
  </si>
  <si>
    <t>Деплой, окружения, мониторинг (Docker, CI/CD бэка)</t>
  </si>
  <si>
    <t>E2E-тесты фронта</t>
  </si>
  <si>
    <t>Интеграция Backend + Frontend</t>
  </si>
  <si>
    <t>Нагрузочное тестирование и проверка отказоустойчивости (падение источника/matching)</t>
  </si>
  <si>
    <t>Багфиксы и полировка</t>
  </si>
  <si>
    <t>Документация, отчёты по спринтам, подготовка защиты</t>
  </si>
  <si>
    <t>Еженедельная обратная связь с заказчиком</t>
  </si>
  <si>
    <t>Нагрузка по исполнителям (недель работы по задачам)</t>
  </si>
  <si>
    <t>Недель-задач</t>
  </si>
  <si>
    <t>Доля, %</t>
  </si>
  <si>
    <t>Всего</t>
  </si>
  <si>
    <t>Заметка: задачи «Оба» нужно мысленно делить пополам; Backend объективно тяжелее — поэтому в плане 1–2 источника и упор на качество матчинга.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</si>
</sst>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0.0%"/>
    <numFmt numFmtId="179" formatCode="dd\.mm\.yyyy"/>
    <numFmt numFmtId="180" formatCode="dd\.mm"/>
  </numFmts>
  <fonts count="35">
    <font>
      <sz val="11"/>
      <color theme="1"/>
      <name val="Calibri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b/>
      <sz val="11"/>
      <color rgb="FF0000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D9E1F2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176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177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78" fontId="3" fillId="0" borderId="1" xfId="0" applyNumberFormat="1" applyFont="1" applyBorder="1"/>
    <xf numFmtId="0" fontId="4" fillId="0" borderId="0" xfId="0" applyFont="1"/>
    <xf numFmtId="178" fontId="4" fillId="0" borderId="0" xfId="0" applyNumberFormat="1" applyFont="1"/>
    <xf numFmtId="0" fontId="5" fillId="0" borderId="0" xfId="0" applyFont="1"/>
    <xf numFmtId="0" fontId="6" fillId="0" borderId="0" xfId="0" applyFont="1"/>
    <xf numFmtId="179" fontId="7" fillId="3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180" fontId="10" fillId="2" borderId="1" xfId="0" applyNumberFormat="1" applyFont="1" applyFill="1" applyBorder="1" applyAlignment="1">
      <alignment horizontal="center" vertical="center" textRotation="90"/>
    </xf>
    <xf numFmtId="0" fontId="0" fillId="4" borderId="1" xfId="0" applyFill="1" applyBorder="1"/>
    <xf numFmtId="0" fontId="11" fillId="4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2E75B6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ED7D3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EB9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ED7D31"/>
      <rgbColor rgb="00595959"/>
      <rgbColor rgb="0070AD47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"/>
  <sheetViews>
    <sheetView tabSelected="1" zoomScale="90" zoomScaleNormal="90" workbookViewId="0">
      <pane ySplit="5" topLeftCell="A6" activePane="bottomLeft" state="frozen"/>
      <selection/>
      <selection pane="bottomLeft" activeCell="W59" sqref="W59"/>
    </sheetView>
  </sheetViews>
  <sheetFormatPr defaultColWidth="8.67619047619048" defaultRowHeight="15"/>
  <cols>
    <col min="1" max="1" width="5" customWidth="1"/>
    <col min="2" max="2" width="62" customWidth="1"/>
    <col min="3" max="3" width="13" customWidth="1"/>
    <col min="4" max="6" width="9" customWidth="1"/>
    <col min="7" max="7" width="12" customWidth="1"/>
    <col min="8" max="19" width="4.5047619047619" customWidth="1"/>
  </cols>
  <sheetData>
    <row r="1" ht="18" spans="1:19">
      <c r="A1" s="8" t="s">
        <v>0</v>
      </c>
    </row>
    <row r="2" spans="1:19">
      <c r="B2" s="5" t="s">
        <v>1</v>
      </c>
      <c r="C2" s="9">
        <v>46297</v>
      </c>
    </row>
    <row r="4" spans="1:19">
      <c r="A4" s="10"/>
      <c r="B4" s="10"/>
      <c r="C4" s="10"/>
      <c r="D4" s="10"/>
      <c r="E4" s="10"/>
      <c r="F4" s="10"/>
      <c r="G4" s="11" t="s">
        <v>2</v>
      </c>
      <c r="H4" s="12">
        <v>1</v>
      </c>
      <c r="I4" s="12">
        <v>2</v>
      </c>
      <c r="J4" s="12">
        <v>3</v>
      </c>
      <c r="K4" s="12">
        <v>4</v>
      </c>
      <c r="L4" s="12">
        <v>5</v>
      </c>
      <c r="M4" s="12">
        <v>6</v>
      </c>
      <c r="N4" s="12">
        <v>7</v>
      </c>
      <c r="O4" s="12">
        <v>8</v>
      </c>
      <c r="P4" s="12">
        <v>9</v>
      </c>
      <c r="Q4" s="12">
        <v>10</v>
      </c>
      <c r="R4" s="12">
        <v>11</v>
      </c>
      <c r="S4" s="12">
        <v>12</v>
      </c>
    </row>
    <row r="5" ht="37.5" customHeight="1" spans="1:19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4">
        <f t="shared" ref="H5:S5" si="0" xml:space="preserve">$C$2+7*(H$4-1)</f>
        <v>46297</v>
      </c>
      <c r="I5" s="14">
        <f t="shared" si="0"/>
        <v>46304</v>
      </c>
      <c r="J5" s="14">
        <f t="shared" si="0"/>
        <v>46311</v>
      </c>
      <c r="K5" s="14">
        <f t="shared" si="0"/>
        <v>46318</v>
      </c>
      <c r="L5" s="14">
        <f t="shared" si="0"/>
        <v>46325</v>
      </c>
      <c r="M5" s="14">
        <f t="shared" si="0"/>
        <v>46332</v>
      </c>
      <c r="N5" s="14">
        <f t="shared" si="0"/>
        <v>46339</v>
      </c>
      <c r="O5" s="14">
        <f t="shared" si="0"/>
        <v>46346</v>
      </c>
      <c r="P5" s="14">
        <f t="shared" si="0"/>
        <v>46353</v>
      </c>
      <c r="Q5" s="14">
        <f t="shared" si="0"/>
        <v>46360</v>
      </c>
      <c r="R5" s="14">
        <f t="shared" si="0"/>
        <v>46367</v>
      </c>
      <c r="S5" s="14">
        <f t="shared" si="0"/>
        <v>46374</v>
      </c>
    </row>
    <row r="6" spans="1:19">
      <c r="A6" s="15"/>
      <c r="B6" s="16" t="s">
        <v>10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ht="18" customHeight="1" spans="1:19">
      <c r="A7" s="17">
        <v>1</v>
      </c>
      <c r="B7" s="18" t="s">
        <v>11</v>
      </c>
      <c r="C7" s="19" t="s">
        <v>12</v>
      </c>
      <c r="D7" s="19">
        <v>1</v>
      </c>
      <c r="E7" s="19">
        <v>2</v>
      </c>
      <c r="F7" s="17">
        <f xml:space="preserve">D7+E7-1</f>
        <v>2</v>
      </c>
      <c r="G7" s="19" t="s">
        <v>13</v>
      </c>
      <c r="H7" s="20" t="s">
        <v>14</v>
      </c>
      <c r="I7" s="20" t="s">
        <v>14</v>
      </c>
      <c r="J7" s="20"/>
      <c r="K7" s="20"/>
      <c r="L7" s="20"/>
      <c r="M7" s="20"/>
      <c r="N7" s="20"/>
      <c r="O7" s="20"/>
      <c r="P7" s="20"/>
      <c r="Q7" s="20"/>
      <c r="R7" s="20"/>
      <c r="S7" s="20"/>
    </row>
    <row r="8" ht="27.75" customHeight="1" spans="1:19">
      <c r="A8" s="17">
        <v>2</v>
      </c>
      <c r="B8" s="18" t="s">
        <v>15</v>
      </c>
      <c r="C8" s="19" t="s">
        <v>12</v>
      </c>
      <c r="D8" s="19">
        <v>1</v>
      </c>
      <c r="E8" s="19">
        <v>3</v>
      </c>
      <c r="F8" s="17">
        <f xml:space="preserve">D8+E8-1</f>
        <v>3</v>
      </c>
      <c r="G8" s="19" t="s">
        <v>16</v>
      </c>
      <c r="H8" s="20" t="s">
        <v>14</v>
      </c>
      <c r="I8" s="20" t="s">
        <v>14</v>
      </c>
      <c r="J8" s="20"/>
      <c r="K8" s="20"/>
      <c r="L8" s="20"/>
      <c r="M8" s="20"/>
      <c r="N8" s="20"/>
      <c r="O8" s="20"/>
      <c r="P8" s="20"/>
      <c r="Q8" s="20"/>
      <c r="R8" s="20"/>
      <c r="S8" s="20"/>
    </row>
    <row r="9" ht="18" customHeight="1" spans="1:19">
      <c r="A9" s="17">
        <v>3</v>
      </c>
      <c r="B9" s="18" t="s">
        <v>17</v>
      </c>
      <c r="C9" s="19" t="s">
        <v>12</v>
      </c>
      <c r="D9" s="19">
        <v>2</v>
      </c>
      <c r="E9" s="19">
        <v>2</v>
      </c>
      <c r="F9" s="17">
        <f xml:space="preserve">D9+E9-1</f>
        <v>3</v>
      </c>
      <c r="G9" s="19" t="s">
        <v>16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ht="18" customHeight="1" spans="1:19">
      <c r="A10" s="17">
        <v>4</v>
      </c>
      <c r="B10" s="18" t="s">
        <v>18</v>
      </c>
      <c r="C10" s="19" t="s">
        <v>12</v>
      </c>
      <c r="D10" s="19">
        <v>4</v>
      </c>
      <c r="E10" s="19">
        <v>2</v>
      </c>
      <c r="F10" s="17">
        <f xml:space="preserve">D10+E10-1</f>
        <v>5</v>
      </c>
      <c r="G10" s="19" t="s">
        <v>19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ht="27.75" customHeight="1" spans="1:19">
      <c r="A11" s="17">
        <v>5</v>
      </c>
      <c r="B11" s="18" t="s">
        <v>20</v>
      </c>
      <c r="C11" s="19" t="s">
        <v>12</v>
      </c>
      <c r="D11" s="19">
        <v>9</v>
      </c>
      <c r="E11" s="19">
        <v>1</v>
      </c>
      <c r="F11" s="17">
        <f xml:space="preserve">D11+E11-1</f>
        <v>9</v>
      </c>
      <c r="G11" s="19" t="s">
        <v>19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>
      <c r="A12" s="15"/>
      <c r="B12" s="16" t="s">
        <v>21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18" customHeight="1" spans="1:19">
      <c r="A13" s="17">
        <v>6</v>
      </c>
      <c r="B13" s="18" t="s">
        <v>22</v>
      </c>
      <c r="C13" s="19" t="s">
        <v>12</v>
      </c>
      <c r="D13" s="19">
        <v>3</v>
      </c>
      <c r="E13" s="19">
        <v>2</v>
      </c>
      <c r="F13" s="17">
        <f t="shared" ref="F13:F23" si="1" xml:space="preserve">D13+E13-1</f>
        <v>4</v>
      </c>
      <c r="G13" s="19" t="s">
        <v>19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ht="27.75" customHeight="1" spans="1:19">
      <c r="A14" s="17">
        <v>7</v>
      </c>
      <c r="B14" s="18" t="s">
        <v>23</v>
      </c>
      <c r="C14" s="19" t="s">
        <v>12</v>
      </c>
      <c r="D14" s="19">
        <v>4</v>
      </c>
      <c r="E14" s="19">
        <v>2</v>
      </c>
      <c r="F14" s="17">
        <f t="shared" si="1"/>
        <v>5</v>
      </c>
      <c r="G14" s="19" t="s">
        <v>19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ht="18" customHeight="1" spans="1:19">
      <c r="A15" s="17">
        <v>8</v>
      </c>
      <c r="B15" s="18" t="s">
        <v>24</v>
      </c>
      <c r="C15" s="19" t="s">
        <v>12</v>
      </c>
      <c r="D15" s="19">
        <v>5</v>
      </c>
      <c r="E15" s="19">
        <v>2</v>
      </c>
      <c r="F15" s="17">
        <f t="shared" si="1"/>
        <v>6</v>
      </c>
      <c r="G15" s="19" t="s">
        <v>19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ht="27.75" customHeight="1" spans="1:19">
      <c r="A16" s="17">
        <v>9</v>
      </c>
      <c r="B16" s="18" t="s">
        <v>25</v>
      </c>
      <c r="C16" s="19" t="s">
        <v>12</v>
      </c>
      <c r="D16" s="19">
        <v>5</v>
      </c>
      <c r="E16" s="19">
        <v>3</v>
      </c>
      <c r="F16" s="17">
        <f t="shared" si="1"/>
        <v>7</v>
      </c>
      <c r="G16" s="19" t="s">
        <v>19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ht="27.75" customHeight="1" spans="1:19">
      <c r="A17" s="17">
        <v>10</v>
      </c>
      <c r="B17" s="18" t="s">
        <v>26</v>
      </c>
      <c r="C17" s="19" t="s">
        <v>12</v>
      </c>
      <c r="D17" s="19">
        <v>5</v>
      </c>
      <c r="E17" s="19">
        <v>2</v>
      </c>
      <c r="F17" s="17">
        <f t="shared" si="1"/>
        <v>6</v>
      </c>
      <c r="G17" s="19" t="s">
        <v>19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ht="27.75" customHeight="1" spans="1:19">
      <c r="A18" s="17">
        <v>11</v>
      </c>
      <c r="B18" s="18" t="s">
        <v>27</v>
      </c>
      <c r="C18" s="19" t="s">
        <v>12</v>
      </c>
      <c r="D18" s="19">
        <v>6</v>
      </c>
      <c r="E18" s="19">
        <v>3</v>
      </c>
      <c r="F18" s="17">
        <f t="shared" si="1"/>
        <v>8</v>
      </c>
      <c r="G18" s="19" t="s">
        <v>19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ht="27.75" customHeight="1" spans="1:19">
      <c r="A19" s="17">
        <v>12</v>
      </c>
      <c r="B19" s="18" t="s">
        <v>28</v>
      </c>
      <c r="C19" s="19" t="s">
        <v>12</v>
      </c>
      <c r="D19" s="19">
        <v>8</v>
      </c>
      <c r="E19" s="19">
        <v>2</v>
      </c>
      <c r="F19" s="17">
        <f t="shared" si="1"/>
        <v>9</v>
      </c>
      <c r="G19" s="19" t="s">
        <v>19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ht="27.75" customHeight="1" spans="1:19">
      <c r="A20" s="17">
        <v>13</v>
      </c>
      <c r="B20" s="18" t="s">
        <v>29</v>
      </c>
      <c r="C20" s="19" t="s">
        <v>12</v>
      </c>
      <c r="D20" s="19">
        <v>8</v>
      </c>
      <c r="E20" s="19">
        <v>2</v>
      </c>
      <c r="F20" s="17">
        <f t="shared" si="1"/>
        <v>9</v>
      </c>
      <c r="G20" s="19" t="s">
        <v>19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ht="27.75" customHeight="1" spans="1:19">
      <c r="A21" s="17">
        <v>14</v>
      </c>
      <c r="B21" s="18" t="s">
        <v>30</v>
      </c>
      <c r="C21" s="19" t="s">
        <v>12</v>
      </c>
      <c r="D21" s="19">
        <v>9</v>
      </c>
      <c r="E21" s="19">
        <v>2</v>
      </c>
      <c r="F21" s="17">
        <f t="shared" si="1"/>
        <v>10</v>
      </c>
      <c r="G21" s="19" t="s">
        <v>19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ht="18" customHeight="1" spans="1:19">
      <c r="A22" s="17">
        <v>15</v>
      </c>
      <c r="B22" s="18" t="s">
        <v>31</v>
      </c>
      <c r="C22" s="19" t="s">
        <v>12</v>
      </c>
      <c r="D22" s="19">
        <v>10</v>
      </c>
      <c r="E22" s="19">
        <v>2</v>
      </c>
      <c r="F22" s="17">
        <f t="shared" si="1"/>
        <v>11</v>
      </c>
      <c r="G22" s="19" t="s">
        <v>19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ht="18" customHeight="1" spans="1:19">
      <c r="A23" s="17">
        <v>16</v>
      </c>
      <c r="B23" s="18" t="s">
        <v>32</v>
      </c>
      <c r="C23" s="19" t="s">
        <v>12</v>
      </c>
      <c r="D23" s="19">
        <v>3</v>
      </c>
      <c r="E23" s="19">
        <v>6</v>
      </c>
      <c r="F23" s="17">
        <f t="shared" si="1"/>
        <v>8</v>
      </c>
      <c r="G23" s="19" t="s">
        <v>19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>
      <c r="A24" s="15"/>
      <c r="B24" s="16" t="s">
        <v>33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ht="18" customHeight="1" spans="1:19">
      <c r="A25" s="17">
        <v>17</v>
      </c>
      <c r="B25" s="18" t="s">
        <v>34</v>
      </c>
      <c r="C25" s="19" t="s">
        <v>35</v>
      </c>
      <c r="D25" s="19">
        <v>1</v>
      </c>
      <c r="E25" s="19">
        <v>2</v>
      </c>
      <c r="F25" s="17">
        <f t="shared" ref="F25:F34" si="2" xml:space="preserve">D25+E25-1</f>
        <v>2</v>
      </c>
      <c r="G25" s="19" t="s">
        <v>13</v>
      </c>
      <c r="H25" s="20" t="s">
        <v>14</v>
      </c>
      <c r="I25" s="20" t="s">
        <v>14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ht="18" customHeight="1" spans="1:19">
      <c r="A26" s="17">
        <v>18</v>
      </c>
      <c r="B26" s="18" t="s">
        <v>36</v>
      </c>
      <c r="C26" s="19" t="s">
        <v>35</v>
      </c>
      <c r="D26" s="19">
        <v>2</v>
      </c>
      <c r="E26" s="19">
        <v>2</v>
      </c>
      <c r="F26" s="17">
        <f t="shared" si="2"/>
        <v>3</v>
      </c>
      <c r="G26" s="19" t="s">
        <v>16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ht="18" customHeight="1" spans="1:19">
      <c r="A27" s="17">
        <v>19</v>
      </c>
      <c r="B27" s="18" t="s">
        <v>37</v>
      </c>
      <c r="C27" s="19" t="s">
        <v>35</v>
      </c>
      <c r="D27" s="19">
        <v>3</v>
      </c>
      <c r="E27" s="19">
        <v>2</v>
      </c>
      <c r="F27" s="17">
        <f t="shared" si="2"/>
        <v>4</v>
      </c>
      <c r="G27" s="19" t="s">
        <v>19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ht="18" customHeight="1" spans="1:19">
      <c r="A28" s="17">
        <v>20</v>
      </c>
      <c r="B28" s="18" t="s">
        <v>38</v>
      </c>
      <c r="C28" s="19" t="s">
        <v>35</v>
      </c>
      <c r="D28" s="19">
        <v>4</v>
      </c>
      <c r="E28" s="19">
        <v>2</v>
      </c>
      <c r="F28" s="17">
        <f t="shared" si="2"/>
        <v>5</v>
      </c>
      <c r="G28" s="19" t="s">
        <v>19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27.75" customHeight="1" spans="1:19">
      <c r="A29" s="17">
        <v>21</v>
      </c>
      <c r="B29" s="18" t="s">
        <v>39</v>
      </c>
      <c r="C29" s="19" t="s">
        <v>35</v>
      </c>
      <c r="D29" s="19">
        <v>6</v>
      </c>
      <c r="E29" s="19">
        <v>2</v>
      </c>
      <c r="F29" s="17">
        <f t="shared" si="2"/>
        <v>7</v>
      </c>
      <c r="G29" s="19" t="s">
        <v>19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ht="27.75" customHeight="1" spans="1:19">
      <c r="A30" s="17">
        <v>22</v>
      </c>
      <c r="B30" s="18" t="s">
        <v>40</v>
      </c>
      <c r="C30" s="19" t="s">
        <v>35</v>
      </c>
      <c r="D30" s="19">
        <v>5</v>
      </c>
      <c r="E30" s="19">
        <v>3</v>
      </c>
      <c r="F30" s="17">
        <f t="shared" si="2"/>
        <v>7</v>
      </c>
      <c r="G30" s="19" t="s">
        <v>19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ht="18" customHeight="1" spans="1:19">
      <c r="A31" s="17">
        <v>23</v>
      </c>
      <c r="B31" s="18" t="s">
        <v>41</v>
      </c>
      <c r="C31" s="19" t="s">
        <v>35</v>
      </c>
      <c r="D31" s="19">
        <v>7</v>
      </c>
      <c r="E31" s="19">
        <v>2</v>
      </c>
      <c r="F31" s="17">
        <f t="shared" si="2"/>
        <v>8</v>
      </c>
      <c r="G31" s="19" t="s">
        <v>19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ht="18" customHeight="1" spans="1:19">
      <c r="A32" s="17">
        <v>24</v>
      </c>
      <c r="B32" s="18" t="s">
        <v>42</v>
      </c>
      <c r="C32" s="19" t="s">
        <v>35</v>
      </c>
      <c r="D32" s="19">
        <v>8</v>
      </c>
      <c r="E32" s="19">
        <v>2</v>
      </c>
      <c r="F32" s="17">
        <f t="shared" si="2"/>
        <v>9</v>
      </c>
      <c r="G32" s="19" t="s">
        <v>19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ht="18" customHeight="1" spans="1:19">
      <c r="A33" s="17">
        <v>25</v>
      </c>
      <c r="B33" s="18" t="s">
        <v>43</v>
      </c>
      <c r="C33" s="19" t="s">
        <v>35</v>
      </c>
      <c r="D33" s="19">
        <v>9</v>
      </c>
      <c r="E33" s="19">
        <v>2</v>
      </c>
      <c r="F33" s="17">
        <f t="shared" si="2"/>
        <v>10</v>
      </c>
      <c r="G33" s="19" t="s">
        <v>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ht="18" customHeight="1" spans="1:19">
      <c r="A34" s="17">
        <v>26</v>
      </c>
      <c r="B34" s="18" t="s">
        <v>44</v>
      </c>
      <c r="C34" s="19" t="s">
        <v>35</v>
      </c>
      <c r="D34" s="19">
        <v>10</v>
      </c>
      <c r="E34" s="19">
        <v>1</v>
      </c>
      <c r="F34" s="17">
        <f t="shared" si="2"/>
        <v>10</v>
      </c>
      <c r="G34" s="19" t="s">
        <v>19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>
      <c r="A35" s="15"/>
      <c r="B35" s="16" t="s">
        <v>45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ht="27.75" customHeight="1" spans="1:19">
      <c r="A36" s="17">
        <v>27</v>
      </c>
      <c r="B36" s="18" t="s">
        <v>46</v>
      </c>
      <c r="C36" s="19" t="s">
        <v>12</v>
      </c>
      <c r="D36" s="19">
        <v>9</v>
      </c>
      <c r="E36" s="19">
        <v>2</v>
      </c>
      <c r="F36" s="17">
        <f xml:space="preserve">D36+E36-1</f>
        <v>10</v>
      </c>
      <c r="G36" s="19" t="s">
        <v>19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ht="27.75" customHeight="1" spans="1:19">
      <c r="A37" s="17">
        <v>28</v>
      </c>
      <c r="B37" s="18" t="s">
        <v>47</v>
      </c>
      <c r="C37" s="19" t="s">
        <v>12</v>
      </c>
      <c r="D37" s="19">
        <v>10</v>
      </c>
      <c r="E37" s="19">
        <v>2</v>
      </c>
      <c r="F37" s="17">
        <f xml:space="preserve">D37+E37-1</f>
        <v>11</v>
      </c>
      <c r="G37" s="19" t="s">
        <v>19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ht="27.75" customHeight="1" spans="1:19">
      <c r="A38" s="17">
        <v>29</v>
      </c>
      <c r="B38" s="18" t="s">
        <v>48</v>
      </c>
      <c r="C38" s="19" t="s">
        <v>35</v>
      </c>
      <c r="D38" s="19">
        <v>10</v>
      </c>
      <c r="E38" s="19">
        <v>2</v>
      </c>
      <c r="F38" s="17">
        <f xml:space="preserve">D38+E38-1</f>
        <v>11</v>
      </c>
      <c r="G38" s="19" t="s">
        <v>19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ht="18" customHeight="1" spans="1:19">
      <c r="A39" s="17">
        <v>30</v>
      </c>
      <c r="B39" s="18" t="s">
        <v>49</v>
      </c>
      <c r="C39" s="19" t="s">
        <v>35</v>
      </c>
      <c r="D39" s="19">
        <v>11</v>
      </c>
      <c r="E39" s="19">
        <v>1</v>
      </c>
      <c r="F39" s="17">
        <f xml:space="preserve">D39+E39-1</f>
        <v>11</v>
      </c>
      <c r="G39" s="19" t="s">
        <v>19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>
      <c r="A40" s="15"/>
      <c r="B40" s="16" t="s">
        <v>50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8" customHeight="1" spans="1:19">
      <c r="A41" s="17">
        <v>31</v>
      </c>
      <c r="B41" s="18" t="s">
        <v>51</v>
      </c>
      <c r="C41" s="19" t="s">
        <v>52</v>
      </c>
      <c r="D41" s="19">
        <v>2</v>
      </c>
      <c r="E41" s="19">
        <v>9</v>
      </c>
      <c r="F41" s="17">
        <f t="shared" ref="F41:F48" si="3" xml:space="preserve">D41+E41-1</f>
        <v>10</v>
      </c>
      <c r="G41" s="19" t="s">
        <v>16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ht="18" customHeight="1" spans="1:19">
      <c r="A42" s="17">
        <v>32</v>
      </c>
      <c r="B42" s="18" t="s">
        <v>53</v>
      </c>
      <c r="C42" s="19" t="s">
        <v>12</v>
      </c>
      <c r="D42" s="19">
        <v>7</v>
      </c>
      <c r="E42" s="19">
        <v>3</v>
      </c>
      <c r="F42" s="17">
        <f t="shared" si="3"/>
        <v>9</v>
      </c>
      <c r="G42" s="19" t="s">
        <v>19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ht="18" customHeight="1" spans="1:19">
      <c r="A43" s="17">
        <v>33</v>
      </c>
      <c r="B43" s="18" t="s">
        <v>54</v>
      </c>
      <c r="C43" s="19" t="s">
        <v>35</v>
      </c>
      <c r="D43" s="19">
        <v>9</v>
      </c>
      <c r="E43" s="19">
        <v>2</v>
      </c>
      <c r="F43" s="17">
        <f t="shared" si="3"/>
        <v>10</v>
      </c>
      <c r="G43" s="19" t="s">
        <v>19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ht="18" customHeight="1" spans="1:19">
      <c r="A44" s="17">
        <v>34</v>
      </c>
      <c r="B44" s="18" t="s">
        <v>55</v>
      </c>
      <c r="C44" s="19" t="s">
        <v>52</v>
      </c>
      <c r="D44" s="19">
        <v>8</v>
      </c>
      <c r="E44" s="19">
        <v>3</v>
      </c>
      <c r="F44" s="17">
        <f t="shared" si="3"/>
        <v>10</v>
      </c>
      <c r="G44" s="19" t="s">
        <v>19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ht="27.75" customHeight="1" spans="1:19">
      <c r="A45" s="17">
        <v>35</v>
      </c>
      <c r="B45" s="18" t="s">
        <v>56</v>
      </c>
      <c r="C45" s="19" t="s">
        <v>52</v>
      </c>
      <c r="D45" s="19">
        <v>10</v>
      </c>
      <c r="E45" s="19">
        <v>2</v>
      </c>
      <c r="F45" s="17">
        <f t="shared" si="3"/>
        <v>11</v>
      </c>
      <c r="G45" s="19" t="s">
        <v>19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ht="18" customHeight="1" spans="1:19">
      <c r="A46" s="17">
        <v>36</v>
      </c>
      <c r="B46" s="18" t="s">
        <v>57</v>
      </c>
      <c r="C46" s="19" t="s">
        <v>52</v>
      </c>
      <c r="D46" s="19">
        <v>11</v>
      </c>
      <c r="E46" s="19">
        <v>1</v>
      </c>
      <c r="F46" s="17">
        <f t="shared" si="3"/>
        <v>11</v>
      </c>
      <c r="G46" s="19" t="s">
        <v>19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ht="18" customHeight="1" spans="1:19">
      <c r="A47" s="17">
        <v>37</v>
      </c>
      <c r="B47" s="18" t="s">
        <v>58</v>
      </c>
      <c r="C47" s="19" t="s">
        <v>52</v>
      </c>
      <c r="D47" s="19">
        <v>11</v>
      </c>
      <c r="E47" s="19">
        <v>2</v>
      </c>
      <c r="F47" s="17">
        <f t="shared" si="3"/>
        <v>12</v>
      </c>
      <c r="G47" s="19" t="s">
        <v>19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ht="27.75" customHeight="1" spans="1:19">
      <c r="A48" s="17">
        <v>38</v>
      </c>
      <c r="B48" s="18" t="s">
        <v>59</v>
      </c>
      <c r="C48" s="19" t="s">
        <v>52</v>
      </c>
      <c r="D48" s="19">
        <v>1</v>
      </c>
      <c r="E48" s="19">
        <v>12</v>
      </c>
      <c r="F48" s="17">
        <f t="shared" si="3"/>
        <v>12</v>
      </c>
      <c r="G48" s="19" t="s">
        <v>16</v>
      </c>
      <c r="H48" s="20" t="s">
        <v>14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</sheetData>
  <conditionalFormatting sqref="G6:G48">
    <cfRule type="expression" dxfId="0" priority="5">
      <formula>$G6="Готово"</formula>
    </cfRule>
    <cfRule type="expression" dxfId="1" priority="6">
      <formula>$G6="В работе"</formula>
    </cfRule>
  </conditionalFormatting>
  <conditionalFormatting sqref="H6:S48">
    <cfRule type="expression" dxfId="2" priority="2">
      <formula>AND($D6&lt;&gt;"",H$4&gt;=$D6,H$4&lt;=$F6,$C6="Backend")</formula>
    </cfRule>
    <cfRule type="expression" dxfId="3" priority="3">
      <formula>AND($D6&lt;&gt;"",H$4&gt;=$D6,H$4&lt;=$F6,$C6="Frontend")</formula>
    </cfRule>
    <cfRule type="expression" dxfId="4" priority="4">
      <formula>AND($D6&lt;&gt;"",H$4&gt;=$D6,H$4&lt;=$F6,$C6="Оба")</formula>
    </cfRule>
  </conditionalFormatting>
  <dataValidations count="2">
    <dataValidation type="list" allowBlank="1" sqref="C7:C11 C13:C23 C25:C34 C36:C39 C41:C48">
      <formula1>"Backend,Frontend,Оба"</formula1>
    </dataValidation>
    <dataValidation type="list" allowBlank="1" sqref="G7:G11 G13:G23 G25:G34 G36:G39 G41:G48">
      <formula1>"Не начато,В работе,Готово"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8.67619047619048" defaultRowHeight="15" outlineLevelCol="2"/>
  <cols>
    <col min="1" max="1" width="18" customWidth="1"/>
    <col min="2" max="2" width="16" customWidth="1"/>
    <col min="3" max="3" width="12" customWidth="1"/>
  </cols>
  <sheetData>
    <row r="1" ht="15.75" spans="1:3">
      <c r="A1" s="1" t="s">
        <v>60</v>
      </c>
    </row>
    <row r="3" spans="1:3">
      <c r="A3" s="2" t="s">
        <v>5</v>
      </c>
      <c r="B3" s="2" t="s">
        <v>61</v>
      </c>
      <c r="C3" s="2" t="s">
        <v>62</v>
      </c>
    </row>
    <row r="4" spans="1:3">
      <c r="A4" s="3" t="s">
        <v>12</v>
      </c>
      <c r="B4" s="3">
        <f xml:space="preserve">SUMIFS(Gantt!$E$6:$E$48,Gantt!$C$6:$C$48,A4)</f>
        <v>45</v>
      </c>
      <c r="C4" s="4">
        <f xml:space="preserve">IF($B$7=0,0,B4/$B$7)</f>
        <v>0.454545454545455</v>
      </c>
    </row>
    <row r="5" spans="1:3">
      <c r="A5" s="3" t="s">
        <v>35</v>
      </c>
      <c r="B5" s="3">
        <f xml:space="preserve">SUMIFS(Gantt!$E$6:$E$48,Gantt!$C$6:$C$48,A5)</f>
        <v>25</v>
      </c>
      <c r="C5" s="4">
        <f xml:space="preserve">IF($B$7=0,0,B5/$B$7)</f>
        <v>0.252525252525253</v>
      </c>
    </row>
    <row r="6" spans="1:3">
      <c r="A6" s="3" t="s">
        <v>52</v>
      </c>
      <c r="B6" s="3">
        <f xml:space="preserve">SUMIFS(Gantt!$E$6:$E$48,Gantt!$C$6:$C$48,A6)</f>
        <v>29</v>
      </c>
      <c r="C6" s="4">
        <f xml:space="preserve">IF($B$7=0,0,B6/$B$7)</f>
        <v>0.292929292929293</v>
      </c>
    </row>
    <row r="7" spans="1:3">
      <c r="A7" s="5" t="s">
        <v>63</v>
      </c>
      <c r="B7" s="5">
        <f xml:space="preserve">SUM(B4:B6)</f>
        <v>99</v>
      </c>
      <c r="C7" s="6">
        <f xml:space="preserve">SUM(C4:C6)</f>
        <v>1</v>
      </c>
    </row>
    <row r="9" spans="1:3">
      <c r="A9" s="7" t="s">
        <v>64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Gantt</vt:lpstr>
      <vt:lpstr>Нагрузка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Reiter18</cp:lastModifiedBy>
  <cp:revision>0</cp:revision>
  <dcterms:created xsi:type="dcterms:W3CDTF">2026-10-18T15:13:00Z</dcterms:created>
  <dcterms:modified xsi:type="dcterms:W3CDTF">2026-10-19T20:03:49Z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61381B42417949969441A29A95106C9E_12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